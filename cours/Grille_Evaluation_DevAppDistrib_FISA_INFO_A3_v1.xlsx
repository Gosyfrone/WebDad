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7632" activeTab="1"/>
  </bookViews>
  <sheets>
    <sheet name="Livrable" sheetId="4" r:id="rId1"/>
    <sheet name="Soutenance" sheetId="2" r:id="rId2"/>
    <sheet name="Individuel" sheetId="3" state="hidden"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7" i="2" l="1"/>
  <c r="O14" i="2" l="1"/>
  <c r="I13" i="4"/>
  <c r="I20" i="4"/>
  <c r="I19" i="4"/>
  <c r="I18" i="4"/>
  <c r="I17" i="4"/>
  <c r="I16" i="4"/>
  <c r="I15" i="4"/>
  <c r="I14" i="4"/>
  <c r="I12" i="4"/>
  <c r="H29" i="2"/>
  <c r="J29" i="2"/>
  <c r="J33" i="2" s="1"/>
  <c r="I33" i="2" s="1"/>
  <c r="L29" i="2"/>
  <c r="N29" i="2"/>
  <c r="H30" i="2"/>
  <c r="J30" i="2"/>
  <c r="L30" i="2"/>
  <c r="N30" i="2"/>
  <c r="N33" i="2" s="1"/>
  <c r="M33" i="2" s="1"/>
  <c r="H31" i="2"/>
  <c r="J31" i="2"/>
  <c r="L31" i="2"/>
  <c r="N31" i="2"/>
  <c r="I22" i="4" l="1"/>
  <c r="H22" i="4" s="1"/>
  <c r="C7" i="4" s="1"/>
  <c r="L33" i="2"/>
  <c r="K33" i="2" s="1"/>
  <c r="M28" i="2"/>
  <c r="K28" i="2"/>
  <c r="I28" i="2"/>
  <c r="G28" i="2"/>
  <c r="O15" i="2" l="1"/>
  <c r="O20" i="2"/>
  <c r="O18" i="2" l="1"/>
  <c r="O16" i="2" l="1"/>
  <c r="O19" i="2"/>
  <c r="O21" i="2"/>
  <c r="O22" i="2"/>
  <c r="O13" i="2"/>
  <c r="H33" i="2" l="1"/>
  <c r="G33" i="2" s="1"/>
  <c r="C8" i="2" s="1"/>
  <c r="E8" i="2" l="1"/>
  <c r="D8" i="2" l="1"/>
  <c r="F8" i="2"/>
</calcChain>
</file>

<file path=xl/sharedStrings.xml><?xml version="1.0" encoding="utf-8"?>
<sst xmlns="http://schemas.openxmlformats.org/spreadsheetml/2006/main" count="218" uniqueCount="146">
  <si>
    <t>A (5pts)</t>
  </si>
  <si>
    <t>B (4 Pts)</t>
  </si>
  <si>
    <t>C (2 Pts)</t>
  </si>
  <si>
    <t>D (1 Pts)</t>
  </si>
  <si>
    <t>Points</t>
  </si>
  <si>
    <t>En vous référerant au descriptif de la notation 'A', vous constatez que quelques écarts mineurs sont présents.
Toutefois, la qualité globale de l'item vous permez de dire que la réalisation est convenable.</t>
  </si>
  <si>
    <t>En vous référerant au descriptif de la notation 'A', vous constatez que des écarts majeurs sont présents.
La qualité globale de l'item ne vous permez pas de dire que la réalisation est convenable. Les étudiants doivent combler leurs lacunes de manière conséquente</t>
  </si>
  <si>
    <t>Autre</t>
  </si>
  <si>
    <t>Travail dans le projet</t>
  </si>
  <si>
    <t>L'étudiant démontre que les compétences nécessaires à l'intégralité du bloc sont acquises. La qualité et la quantité du travail fournit dans ce projet ne fait aucun doute. La qualité des réponses lors de la séance de questions réponses va dans ce sens.</t>
  </si>
  <si>
    <t>Anglais</t>
  </si>
  <si>
    <t>Prestation individuelle - Zaid</t>
  </si>
  <si>
    <t>Prestation individuelle - Perujan</t>
  </si>
  <si>
    <t>Prestation individuelle - Candis</t>
  </si>
  <si>
    <t>Prestation individuelle - Théo</t>
  </si>
  <si>
    <t>La matrise de la langue anglaise permet à l'étudiant de
démontrer ses compétences et ses réalisations dans le projet</t>
  </si>
  <si>
    <t>L'étudiant démontre que les compétences nécessaires à l'intégralité du bloc sont acquises. La qualité et la quantité du travail fourni dans ce projet ne fait aucun doute. La qualité des réponses lors de la séance de questions réponses va dans ce sens.</t>
  </si>
  <si>
    <t>La majorité des compétences du bloc sont acquises, les réponses aux questions sont correctes malgré quelques imprécisions</t>
  </si>
  <si>
    <t>Des imprécisions importantes et/ou un travail trop faible en comparaison avec le reste du groupe</t>
  </si>
  <si>
    <t>Pas d'implication dans le projet
ou
Mauvaise attitude pendant la soutenance
ou
Pas de maitrise technique</t>
  </si>
  <si>
    <t>Oral de soutenance (temps et dynamisme)</t>
  </si>
  <si>
    <t>A</t>
  </si>
  <si>
    <t>B</t>
  </si>
  <si>
    <t>C</t>
  </si>
  <si>
    <t>D</t>
  </si>
  <si>
    <t>Note</t>
  </si>
  <si>
    <t>NOTES INDIVIDUELLES</t>
  </si>
  <si>
    <t>NOTES DE GROUPE</t>
  </si>
  <si>
    <t>Noms des étudiants :</t>
  </si>
  <si>
    <t>Livrable 2 et soutenance + Anglais</t>
  </si>
  <si>
    <t>Oral de soutenance (supports et démonstration)</t>
  </si>
  <si>
    <t>Les supports de présentation sont de qualité professionnelle et apportent un plus par rapport au livrable écrit. La démonstration est scénarisée, fonctionnelle et complète.</t>
  </si>
  <si>
    <t>L'oral est préparé et dynamique. La gestion du temps est correcte. Le temps de parole est équitable entre les étudiants. L'oral permet au jury de comprendre le cheminement du projet et de se rendre compte du travail accompli.</t>
  </si>
  <si>
    <t>Les supports de présentation sont perfectibles (manque de lisibilité, orthographe…)
ou
La démonstration n'est pas assez préparée</t>
  </si>
  <si>
    <t>Les supports présentent de gros défauts de présentation
ou
Les supports perturbent la compréhension
ou
La démonstration n'est pas fonctionnelle</t>
  </si>
  <si>
    <t>Les supports sont incompréhensibles
ou
Il n'y a pas de démonstration
ou
Il n'y a pas de supports de présentation</t>
  </si>
  <si>
    <t>La gestion du temps est perfectible (+/- 10% du temps prévu)
ou
La présentation manque de dynamisme
ou
Le cheminement du projet n'est pas clair sur certains points</t>
  </si>
  <si>
    <t>La gestion du temps est moyenne (écart de +/- 20% du temps prévu)
ou
Le cheminement du projet est peu compréhensible</t>
  </si>
  <si>
    <t>La gestion du temps est mauvaise (écart supérieur à 20% du temps prévu)
ou
Les explications sont incompréhensibles.</t>
  </si>
  <si>
    <t>Bonne aisance à l'oral, expression fluide et claire. L'étudiant est à l'écoute des questions. Bonne prise en compte de l'auditoire. Bonne attitude et tenue professionnelle.</t>
  </si>
  <si>
    <t>Maitrise technique</t>
  </si>
  <si>
    <t>Mauvaise attitude pendant la soutenance
ou
Tenue clairement non professionnelle</t>
  </si>
  <si>
    <t>Pas de prise en compte du jury
ou
Des questions sont laissées sans réponse
ou
Le propos est très difficile à comprendre</t>
  </si>
  <si>
    <t>Expression hésitante ou balbutiante
ou
Peu de prise en compte de l'auditoire</t>
  </si>
  <si>
    <t>Aisance à l'oral et attitude</t>
  </si>
  <si>
    <t>Groupe :</t>
  </si>
  <si>
    <t>Etudiant 1</t>
  </si>
  <si>
    <t>Etudiant 2</t>
  </si>
  <si>
    <t>Etudiant 3</t>
  </si>
  <si>
    <t>Etudiant 4</t>
  </si>
  <si>
    <t>Grille Eval Soutenance - Projet Développement d'applis distribuées</t>
  </si>
  <si>
    <t>Choix faits</t>
  </si>
  <si>
    <t>Architecture micro-services</t>
  </si>
  <si>
    <t>Fonctionnalités primaires (obligatoires)</t>
  </si>
  <si>
    <t>Fonctionnalités secondaires (optionnelles)</t>
  </si>
  <si>
    <t>Utilisateurs</t>
  </si>
  <si>
    <t>Contexte et démarche</t>
  </si>
  <si>
    <t>Le contexte et la démarche sont clairement présentés avec un niveau de détail adapté au public visé.</t>
  </si>
  <si>
    <t>Le contexte et la démarche sont présentés mais le discours n'est pas accessible par tous.</t>
  </si>
  <si>
    <t>Le contexte n'est pas présenté ou la démarche est floue.</t>
  </si>
  <si>
    <t>Démarche non structurée ou incompréhensible.</t>
  </si>
  <si>
    <t>Les choix faits (architecture, fonctionnalités) sont présentés, sont pertinents et argumentés</t>
  </si>
  <si>
    <t>L'architecture est cohérente (suit le schéma proposé ou s'en éloigne avec des changements cohérents et argumentés)</t>
  </si>
  <si>
    <t>L'ensemble des fonctionnalités primaires est présente.</t>
  </si>
  <si>
    <t>La majorité des fonctionnalités primaires est présente et l'application fonctionne sans défaut majeur.</t>
  </si>
  <si>
    <t>Il manque une fonctionnalité primaire essentielle
ou
Les fonctionnalités sont présentes mais implémentées au minimum</t>
  </si>
  <si>
    <t>L'application n'est pas fonctionnelle car trop de fonctionnalités primaires manquent.</t>
  </si>
  <si>
    <t>Plusieurs fonctionnalités secondaires sont présentes et bien choisies.</t>
  </si>
  <si>
    <t>Une fonctionnalité secondaire est présente.</t>
  </si>
  <si>
    <t>Une fonctionnalité secondaire est présente mais n'est pas cohérente avec les autres choix d'implémentation</t>
  </si>
  <si>
    <t>Aucune fonctionnalité secondaire n'est développée.</t>
  </si>
  <si>
    <t>Les trois types d'utilisateurs sont présents et fonctionnels</t>
  </si>
  <si>
    <t>Les deux rôles (Admin et utilisateur) sont présents et fonctionnels. Le rôle de modérateur n'est pas implémenté.</t>
  </si>
  <si>
    <t>Il manque des fonctionnalités essentielles aux rôles d'Admin ou d'Utilisateur
ou
Un de ces deux rôles n'est pas présent</t>
  </si>
  <si>
    <t>Il n'y a pas de rôle défini (un seul type d'utilisateur)</t>
  </si>
  <si>
    <t>Argumentation et adaptation technique</t>
  </si>
  <si>
    <t>Aucune maîtrise du vocabulaire technique et scientifique : les termes sont systématiquement utilisés les uns à la place des autres de manière assez aléatoire
ou
Absence d'argumentaire ou arguments incompréhensibles ou volontairement mensongers ou trompeurs.</t>
  </si>
  <si>
    <t>Les termes choisis pour décrire un phénomène ou un élément technique ne sont pas toujours les bons ou sont parfois approximatifs.
Ou
La structure du raisonnement est peu visible voire absente.
Les arguments sont fallacieux et/ou énoncés avec beaucoup de maladresse.</t>
  </si>
  <si>
    <t>Un vocabulaire technique approprié est utilisé.
Ou
La structure du raisonnement est perfectible.  Les arguments sont globalement corrects, mais énoncés avec quelques maladresses mineures.</t>
  </si>
  <si>
    <t>Le vocabulaire utilisé l'est à propos, les termes techniques sont utilisés à bon escient, et au besoin explicités.
Le raisonnement est structuré.
Les arguments sont pertinents et clairement énoncés.</t>
  </si>
  <si>
    <t>Note Scholaris</t>
  </si>
  <si>
    <t>Si besoin de rajouter des étudiants : copier-coller les cellules G28 à H32</t>
  </si>
  <si>
    <t>Grille Eval Livrable - Projet Développement d'applis distribuées</t>
  </si>
  <si>
    <t>Analyse du besoin</t>
  </si>
  <si>
    <t>Schéma de l'architecture</t>
  </si>
  <si>
    <t>Priorisation</t>
  </si>
  <si>
    <t>Planification et organisation</t>
  </si>
  <si>
    <t>Présentation de la démarche</t>
  </si>
  <si>
    <t>Interface (Wireframe)</t>
  </si>
  <si>
    <t>Présentation des fonctionnalités</t>
  </si>
  <si>
    <t>Amélioration et perspectives</t>
  </si>
  <si>
    <t>Rédaction du livrable</t>
  </si>
  <si>
    <t>Le rapport est bien structuré. La mise en page et la qualité rédactionnelle rendent la lecture agréable.</t>
  </si>
  <si>
    <t>Malgré quelques maladresses dans la mise en forme ou la rédaction, le propos reste compréhensible et on parvient à suivre la démarche.</t>
  </si>
  <si>
    <t>Les règles usuelles de présentation et de rédaction ne sont pas respectées. La compréhension du document est difficile.</t>
  </si>
  <si>
    <r>
      <rPr>
        <b/>
        <sz val="11"/>
        <color theme="1"/>
        <rFont val="Calibri"/>
        <family val="2"/>
        <scheme val="minor"/>
      </rPr>
      <t>Condition qui entraîne un D à l’évaluation </t>
    </r>
    <r>
      <rPr>
        <sz val="11"/>
        <color theme="1"/>
        <rFont val="Calibri"/>
        <family val="2"/>
        <scheme val="minor"/>
      </rPr>
      <t>: 
Plagiat.</t>
    </r>
  </si>
  <si>
    <t>Le besoin présenté est bien compris, analysé et restitué.</t>
  </si>
  <si>
    <t>Le schéma final de l'architecture est clair, conforme aux demandes et explicité. Les schémas sont lisibles.</t>
  </si>
  <si>
    <t>L'organisation de l'équipe est explicitée avec des outils (planning, Trello, répartition explicite des tâches…) et suivie au cours du projet. Les retards éventuels sont argumentés.</t>
  </si>
  <si>
    <t>La démarche globale du projet est expliquée de manière claire et avec les termes techniques adéquats.</t>
  </si>
  <si>
    <t>L'interface prévisionnelle (wireframe) et finale sont présentées de manière claire et lisibles. Les décalages sont expliqués. L'interface finale est intuitive et simple d'utilisation.</t>
  </si>
  <si>
    <t>Les fonctionnalités réalisées sont présentées de manière claire et leurs limitations sont explicitées.</t>
  </si>
  <si>
    <t>L'équipe propose des pistes d'améliorations et des perspectives pertinentes et argumentées (priorisation, durée potentielle, difficulté…)</t>
  </si>
  <si>
    <t>Commentaire</t>
  </si>
  <si>
    <t>&lt;- Entrer les noms des étudiants</t>
  </si>
  <si>
    <t>Pour réinitialiser la grille : supprimer les notes (seulement) dans les lignes 13 à 21 et 28 à 30</t>
  </si>
  <si>
    <t>Conteneurisation</t>
  </si>
  <si>
    <t>Sécurisation</t>
  </si>
  <si>
    <t>L'application est conteneurisée sous Docker avec tous les paramètres corrects</t>
  </si>
  <si>
    <t>L'application est sécurisée (sessions avec JWT, protection des routes privées…)</t>
  </si>
  <si>
    <t>L'application est sécurisée mais certains choix techniques sont discutables (mais bien argumentés)</t>
  </si>
  <si>
    <t>Une partie de l'application seulement est conteneurisée OU l'application est conteneurisée sous Docker avec des choix non conventionnels</t>
  </si>
  <si>
    <t>L'application n'est pas conteneurisée.</t>
  </si>
  <si>
    <t>Une partie seulement de la sécurisation est implémentée</t>
  </si>
  <si>
    <t>La sécurité n'est pas du tout prise en compte</t>
  </si>
  <si>
    <t>L'architecture présente des défauts mineurs qui n'empêchent pas le fonctionnement global.</t>
  </si>
  <si>
    <t>L'architecture a des défauts majeurs dans sa conception qui bloquent son fonctionnement.</t>
  </si>
  <si>
    <t xml:space="preserve">L'architecture n'a pas de sens et le groupe ne comprend pas ce qui est demandé. </t>
  </si>
  <si>
    <t>Les choix faits sont présentés mais certains manquent de justification</t>
  </si>
  <si>
    <t>Les choix ne sont pas présentés.</t>
  </si>
  <si>
    <t>Certains choix faits ne sont pas pertinents.</t>
  </si>
  <si>
    <t>Les fonctionnalités (primaires et secondaires) sont clairement priorisées et leur implémentation a été faite dans un ordre pertinent.</t>
  </si>
  <si>
    <t>Le besoin présenté est globalement compris et restitué, malgré des maladresses.</t>
  </si>
  <si>
    <t>Certains éléments centraux ne sont pas compris ou restitués.</t>
  </si>
  <si>
    <t>Le besoin n'est pas compris, les étudiants font un hors-sujet.</t>
  </si>
  <si>
    <t>Le schéma final de l'architecture contient des approximations par rapport aux demandes OU certains schémas manquent de lisibilité.</t>
  </si>
  <si>
    <t>Le schéma final n'est pas clair OU les schémas ne sont pas lisibles.</t>
  </si>
  <si>
    <t>Il manque des schémas importants pour la compréhension OU les schémas sont entièrement faux</t>
  </si>
  <si>
    <t>Les fonctionnalités ont été priorisées mais certains choix de priorisation ne sont pas pertinents.</t>
  </si>
  <si>
    <t>La priorisation a été faite de manière empirique sans réflexion approfondie.</t>
  </si>
  <si>
    <t>Il n'y a pas eu de priorisation.</t>
  </si>
  <si>
    <t>L'organisation est très peu présente et gérée au jour le jour OU il n'y a pas de recul sur les décalages éventuels.</t>
  </si>
  <si>
    <t>L'organisation est faite mais manque de suivi au cours du projet OU les retards remarqués ne sont pas bien analysés.</t>
  </si>
  <si>
    <t>Il n'y a pas d'organisation.</t>
  </si>
  <si>
    <t>La démarche globale du projet est expliquée mais certains termes ne sont pas adéquats OU certains points sont flous.</t>
  </si>
  <si>
    <t>La démarche n'est pas expliquée.</t>
  </si>
  <si>
    <t>La démarche est expliquée mais il manque des étapes importantes dans l'explication OU l'explication est très floue.</t>
  </si>
  <si>
    <t>L'interface est présentée de manière claire sur la majorité des points OU les décalages entre le prévisionnel et le final ne sont pas décrits OU l'interface finale manque de simplicité</t>
  </si>
  <si>
    <t>Il y a des défauts importants dans l'interface OU les décalages entre le prévisionnel et le final sont très importants et non justifiés</t>
  </si>
  <si>
    <t>L'interface n'est pas présentée OU l'interface est trop complexe à utiliser</t>
  </si>
  <si>
    <t>Les fonctionnalités réalisées sont présentées de manière parfois floue OU les limitations ne sont pas toujours explicitées.</t>
  </si>
  <si>
    <t>Certaines fonctionnalités ne sont pas présentées OU les limitations ne sont pas explicitées</t>
  </si>
  <si>
    <t>Il n'y a pas d'explication des fonctionnalités présentes.</t>
  </si>
  <si>
    <t>L'équipe propose des pistes d'améliorations et des perspectives mais certaines manquent de pertinence.</t>
  </si>
  <si>
    <t>L'équipe ne propose qu'une piste d'amélioration ou une perspective OU les suggestions ne sont pas pertinentes</t>
  </si>
  <si>
    <t>L'équipe ne propose aucune piste d'amélioration ni aucune perspective.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</si>
</sst>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Calibri"/>
      <family val="2"/>
      <scheme val="minor"/>
    </font>
    <font>
      <sz val="11"/>
      <color theme="0"/>
      <name val="Calibri"/>
      <family val="2"/>
      <scheme val="minor"/>
    </font>
    <font>
      <b/>
      <sz val="14"/>
      <color theme="1"/>
      <name val="Calibri"/>
      <family val="2"/>
      <scheme val="minor"/>
    </font>
    <font>
      <b/>
      <sz val="14"/>
      <color rgb="FF0070C0"/>
      <name val="Calibri"/>
      <family val="2"/>
      <scheme val="minor"/>
    </font>
    <font>
      <b/>
      <sz val="22"/>
      <color theme="1"/>
      <name val="Calibri"/>
      <family val="2"/>
      <scheme val="minor"/>
    </font>
    <font>
      <b/>
      <sz val="20"/>
      <color rgb="FF0070C0"/>
      <name val="Calibri"/>
      <family val="2"/>
      <scheme val="minor"/>
    </font>
    <font>
      <b/>
      <sz val="11"/>
      <color rgb="FFFF0000"/>
      <name val="Calibri"/>
      <family val="2"/>
      <scheme val="minor"/>
    </font>
    <font>
      <sz val="11"/>
      <name val="Calibri"/>
      <family val="2"/>
      <scheme val="minor"/>
    </font>
    <font>
      <sz val="14"/>
      <color theme="1"/>
      <name val="Calibri"/>
      <family val="2"/>
      <scheme val="minor"/>
    </font>
    <font>
      <sz val="16"/>
      <color theme="1"/>
      <name val="Calibri"/>
      <family val="2"/>
      <scheme val="minor"/>
    </font>
    <font>
      <b/>
      <sz val="16"/>
      <color theme="1"/>
      <name val="Calibri"/>
      <family val="2"/>
      <scheme val="minor"/>
    </font>
    <font>
      <b/>
      <sz val="14"/>
      <name val="Calibri"/>
      <family val="2"/>
      <scheme val="minor"/>
    </font>
    <font>
      <b/>
      <sz val="20"/>
      <name val="Calibri"/>
      <family val="2"/>
      <scheme val="minor"/>
    </font>
    <font>
      <b/>
      <sz val="16"/>
      <name val="Calibri"/>
      <family val="2"/>
      <scheme val="minor"/>
    </font>
    <font>
      <b/>
      <sz val="24"/>
      <name val="Roboto"/>
    </font>
    <font>
      <b/>
      <sz val="11"/>
      <color theme="1"/>
      <name val="Calibri"/>
      <family val="2"/>
      <scheme val="minor"/>
    </font>
  </fonts>
  <fills count="9">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4"/>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rgb="FF6DC6DA"/>
      </left>
      <right style="thin">
        <color rgb="FF6DC6DA"/>
      </right>
      <top style="thin">
        <color rgb="FF6DC6DA"/>
      </top>
      <bottom style="thin">
        <color rgb="FF6DC6DA"/>
      </bottom>
      <diagonal/>
    </border>
    <border>
      <left style="medium">
        <color indexed="64"/>
      </left>
      <right style="thin">
        <color indexed="64"/>
      </right>
      <top/>
      <bottom/>
      <diagonal/>
    </border>
    <border>
      <left style="thin">
        <color indexed="64"/>
      </left>
      <right style="thin">
        <color indexed="64"/>
      </right>
      <top/>
      <bottom/>
      <diagonal/>
    </border>
    <border>
      <left style="thin">
        <color theme="1"/>
      </left>
      <right/>
      <top style="thin">
        <color theme="1"/>
      </top>
      <bottom/>
      <diagonal/>
    </border>
  </borders>
  <cellStyleXfs count="1">
    <xf numFmtId="0" fontId="0" fillId="0" borderId="0"/>
  </cellStyleXfs>
  <cellXfs count="91">
    <xf numFmtId="0" fontId="0" fillId="0" borderId="0" xfId="0"/>
    <xf numFmtId="0" fontId="2"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5" xfId="0" applyFont="1" applyBorder="1" applyAlignment="1">
      <alignment horizontal="left" vertical="center"/>
    </xf>
    <xf numFmtId="0" fontId="1" fillId="0" borderId="0" xfId="0" applyFont="1"/>
    <xf numFmtId="0" fontId="2" fillId="0" borderId="7" xfId="0" applyFont="1" applyBorder="1" applyAlignment="1">
      <alignment horizontal="left" vertical="center"/>
    </xf>
    <xf numFmtId="0" fontId="3" fillId="0" borderId="6" xfId="0" applyFont="1" applyBorder="1" applyAlignment="1">
      <alignment horizontal="center" vertical="center"/>
    </xf>
    <xf numFmtId="0" fontId="5" fillId="2" borderId="6" xfId="0" applyFont="1" applyFill="1" applyBorder="1" applyAlignment="1">
      <alignment horizontal="center" vertical="center"/>
    </xf>
    <xf numFmtId="0" fontId="5" fillId="2" borderId="9" xfId="0" applyFont="1" applyFill="1" applyBorder="1" applyAlignment="1">
      <alignment horizontal="center" vertical="center"/>
    </xf>
    <xf numFmtId="0" fontId="0" fillId="0" borderId="0" xfId="0" applyAlignment="1">
      <alignment horizontal="left"/>
    </xf>
    <xf numFmtId="0" fontId="0" fillId="0" borderId="8" xfId="0" applyBorder="1" applyAlignment="1">
      <alignment horizontal="center" vertical="center" wrapText="1"/>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8" xfId="0" applyBorder="1" applyAlignment="1">
      <alignment horizontal="center" vertical="center"/>
    </xf>
    <xf numFmtId="0" fontId="0" fillId="0" borderId="0" xfId="0"/>
    <xf numFmtId="0" fontId="0" fillId="0" borderId="8" xfId="0" applyBorder="1" applyAlignment="1">
      <alignment horizontal="center" vertical="center" wrapText="1"/>
    </xf>
    <xf numFmtId="0" fontId="0" fillId="0" borderId="8" xfId="0" applyBorder="1" applyAlignment="1">
      <alignment horizontal="center" vertical="center"/>
    </xf>
    <xf numFmtId="0" fontId="7" fillId="0" borderId="0" xfId="0" applyFont="1"/>
    <xf numFmtId="0" fontId="0" fillId="0" borderId="0" xfId="0" applyAlignment="1">
      <alignment wrapText="1"/>
    </xf>
    <xf numFmtId="0" fontId="0" fillId="0" borderId="0" xfId="0" applyBorder="1"/>
    <xf numFmtId="0" fontId="3" fillId="0" borderId="0" xfId="0" applyFont="1" applyBorder="1" applyAlignment="1">
      <alignment horizontal="center" vertical="center"/>
    </xf>
    <xf numFmtId="0" fontId="0" fillId="0" borderId="0" xfId="0" applyBorder="1" applyAlignment="1">
      <alignment horizontal="center" wrapText="1"/>
    </xf>
    <xf numFmtId="0" fontId="0" fillId="0" borderId="5" xfId="0" applyBorder="1" applyAlignment="1">
      <alignment wrapText="1"/>
    </xf>
    <xf numFmtId="0" fontId="0" fillId="0" borderId="16" xfId="0" applyBorder="1"/>
    <xf numFmtId="0" fontId="7" fillId="0" borderId="1" xfId="0" applyFont="1" applyFill="1" applyBorder="1" applyAlignment="1">
      <alignment horizontal="left" vertical="center" wrapText="1"/>
    </xf>
    <xf numFmtId="0" fontId="12" fillId="2" borderId="0" xfId="0" applyFont="1" applyFill="1" applyBorder="1" applyAlignment="1">
      <alignment horizontal="center" vertical="center"/>
    </xf>
    <xf numFmtId="0" fontId="7" fillId="0" borderId="1" xfId="0" applyFont="1" applyBorder="1" applyAlignment="1">
      <alignment horizontal="left" vertical="center" wrapText="1"/>
    </xf>
    <xf numFmtId="0" fontId="7" fillId="0" borderId="0" xfId="0" applyFont="1" applyAlignment="1">
      <alignment wrapText="1"/>
    </xf>
    <xf numFmtId="0" fontId="7" fillId="0" borderId="0" xfId="0" applyFont="1" applyAlignment="1">
      <alignment horizontal="center"/>
    </xf>
    <xf numFmtId="0" fontId="12" fillId="2" borderId="1" xfId="0" applyFont="1" applyFill="1" applyBorder="1" applyAlignment="1">
      <alignment horizontal="center" vertical="center"/>
    </xf>
    <xf numFmtId="0" fontId="0" fillId="0" borderId="0" xfId="0"/>
    <xf numFmtId="0" fontId="10" fillId="3" borderId="0" xfId="0" applyFont="1" applyFill="1" applyBorder="1" applyAlignment="1">
      <alignment horizontal="center" wrapText="1"/>
    </xf>
    <xf numFmtId="0" fontId="6" fillId="0" borderId="0" xfId="0" applyFont="1" applyBorder="1" applyAlignment="1">
      <alignment horizontal="center" wrapText="1"/>
    </xf>
    <xf numFmtId="0" fontId="6" fillId="0" borderId="0" xfId="0" applyFont="1" applyBorder="1" applyAlignment="1">
      <alignment horizontal="center" wrapText="1"/>
    </xf>
    <xf numFmtId="0" fontId="2" fillId="0" borderId="0" xfId="0" applyFont="1" applyBorder="1" applyAlignment="1">
      <alignment horizontal="left" vertical="center"/>
    </xf>
    <xf numFmtId="0" fontId="7" fillId="0" borderId="0" xfId="0" applyFont="1" applyAlignment="1">
      <alignment horizontal="left"/>
    </xf>
    <xf numFmtId="0" fontId="7" fillId="0" borderId="0" xfId="0" applyFont="1" applyAlignment="1">
      <alignment horizontal="left" vertical="center" wrapText="1"/>
    </xf>
    <xf numFmtId="0" fontId="11" fillId="0" borderId="0" xfId="0" applyFont="1" applyFill="1" applyBorder="1" applyAlignment="1">
      <alignment horizontal="center" vertical="center"/>
    </xf>
    <xf numFmtId="0" fontId="12" fillId="0" borderId="0" xfId="0" applyFont="1" applyFill="1" applyBorder="1" applyAlignment="1">
      <alignment horizontal="center" vertical="center"/>
    </xf>
    <xf numFmtId="0" fontId="7" fillId="0" borderId="0" xfId="0" applyFont="1" applyFill="1" applyBorder="1"/>
    <xf numFmtId="0" fontId="14" fillId="0" borderId="0" xfId="0" applyFont="1" applyFill="1" applyBorder="1" applyAlignment="1">
      <alignment horizontal="center" vertical="center"/>
    </xf>
    <xf numFmtId="0" fontId="4" fillId="7" borderId="0" xfId="0" applyFont="1" applyFill="1" applyBorder="1" applyAlignment="1">
      <alignment horizontal="left"/>
    </xf>
    <xf numFmtId="0" fontId="4" fillId="5" borderId="0" xfId="0" applyFont="1" applyFill="1" applyBorder="1" applyAlignment="1">
      <alignment horizontal="left"/>
    </xf>
    <xf numFmtId="0" fontId="8" fillId="0" borderId="0" xfId="0" applyFont="1" applyBorder="1" applyAlignment="1">
      <alignment horizontal="right" wrapText="1"/>
    </xf>
    <xf numFmtId="0" fontId="9" fillId="4" borderId="1" xfId="0" applyFont="1" applyFill="1" applyBorder="1" applyAlignment="1">
      <alignment horizontal="center"/>
    </xf>
    <xf numFmtId="0" fontId="0" fillId="8" borderId="1" xfId="0" applyFill="1" applyBorder="1" applyAlignment="1">
      <alignment horizontal="left" vertical="center" wrapText="1"/>
    </xf>
    <xf numFmtId="0" fontId="7" fillId="0" borderId="24" xfId="0" applyFont="1" applyBorder="1" applyAlignment="1">
      <alignment horizontal="left" vertical="center" wrapText="1"/>
    </xf>
    <xf numFmtId="0" fontId="7" fillId="0" borderId="20" xfId="0" applyFont="1" applyFill="1" applyBorder="1" applyAlignment="1">
      <alignment horizontal="left" vertical="center" wrapText="1"/>
    </xf>
    <xf numFmtId="0" fontId="11" fillId="0" borderId="0" xfId="0" applyFont="1" applyBorder="1" applyAlignment="1">
      <alignment horizontal="center" vertical="center"/>
    </xf>
    <xf numFmtId="0" fontId="2" fillId="0" borderId="0" xfId="0" applyFont="1" applyBorder="1" applyAlignment="1">
      <alignment horizontal="center" vertical="center"/>
    </xf>
    <xf numFmtId="0" fontId="0" fillId="8" borderId="18" xfId="0" applyFill="1" applyBorder="1" applyAlignment="1">
      <alignment horizontal="center" vertical="center" wrapText="1"/>
    </xf>
    <xf numFmtId="0" fontId="0" fillId="8" borderId="1" xfId="0" applyFill="1" applyBorder="1" applyAlignment="1">
      <alignment horizontal="center" vertical="center" wrapText="1"/>
    </xf>
    <xf numFmtId="0" fontId="0" fillId="8" borderId="8" xfId="0" applyFill="1" applyBorder="1" applyAlignment="1">
      <alignment horizontal="center" vertical="center" wrapText="1"/>
    </xf>
    <xf numFmtId="0" fontId="3" fillId="0" borderId="1" xfId="0" applyFont="1" applyBorder="1" applyAlignment="1">
      <alignment horizontal="center" vertical="center"/>
    </xf>
    <xf numFmtId="0" fontId="11" fillId="0" borderId="0" xfId="0" applyFont="1" applyBorder="1" applyAlignment="1">
      <alignment horizontal="left" vertical="center"/>
    </xf>
    <xf numFmtId="0" fontId="2" fillId="7" borderId="1" xfId="0" applyFont="1" applyFill="1" applyBorder="1" applyAlignment="1">
      <alignment horizontal="center" vertical="center"/>
    </xf>
    <xf numFmtId="0" fontId="11" fillId="0" borderId="5" xfId="0" applyFont="1" applyFill="1" applyBorder="1" applyAlignment="1">
      <alignment horizontal="center" vertical="center" wrapText="1"/>
    </xf>
    <xf numFmtId="0" fontId="11" fillId="0" borderId="5" xfId="0" applyFont="1" applyBorder="1" applyAlignment="1">
      <alignment horizontal="center" vertical="center" wrapText="1"/>
    </xf>
    <xf numFmtId="0" fontId="14" fillId="0" borderId="21" xfId="0" applyFont="1" applyFill="1" applyBorder="1" applyAlignment="1">
      <alignment horizontal="center" vertical="center"/>
    </xf>
    <xf numFmtId="0" fontId="10" fillId="6" borderId="0" xfId="0" applyFont="1" applyFill="1" applyBorder="1" applyAlignment="1">
      <alignment horizontal="center" wrapText="1"/>
    </xf>
    <xf numFmtId="0" fontId="6" fillId="0" borderId="0" xfId="0" applyFont="1" applyBorder="1" applyAlignment="1">
      <alignment horizontal="center" wrapText="1"/>
    </xf>
    <xf numFmtId="0" fontId="12" fillId="2" borderId="10" xfId="0" applyFont="1" applyFill="1" applyBorder="1" applyAlignment="1">
      <alignment horizontal="center" vertical="center"/>
    </xf>
    <xf numFmtId="0" fontId="12" fillId="2" borderId="11" xfId="0" applyFont="1" applyFill="1" applyBorder="1" applyAlignment="1">
      <alignment horizontal="center" vertical="center"/>
    </xf>
    <xf numFmtId="0" fontId="12" fillId="2" borderId="12" xfId="0" applyFont="1" applyFill="1" applyBorder="1" applyAlignment="1">
      <alignment horizontal="center" vertical="center"/>
    </xf>
    <xf numFmtId="0" fontId="6" fillId="0" borderId="16" xfId="0" applyFont="1" applyBorder="1" applyAlignment="1">
      <alignment horizontal="center" wrapText="1"/>
    </xf>
    <xf numFmtId="0" fontId="9" fillId="0" borderId="0" xfId="0" applyFont="1" applyBorder="1" applyAlignment="1">
      <alignment horizontal="right"/>
    </xf>
    <xf numFmtId="0" fontId="11" fillId="6" borderId="1" xfId="0" applyFont="1" applyFill="1" applyBorder="1" applyAlignment="1">
      <alignment horizontal="center" vertical="center"/>
    </xf>
    <xf numFmtId="0" fontId="7" fillId="0" borderId="17" xfId="0" applyFont="1" applyBorder="1" applyAlignment="1">
      <alignment horizontal="center" wrapText="1"/>
    </xf>
    <xf numFmtId="0" fontId="7" fillId="0" borderId="22" xfId="0" applyFont="1" applyBorder="1" applyAlignment="1">
      <alignment horizontal="center" wrapText="1"/>
    </xf>
    <xf numFmtId="0" fontId="7" fillId="0" borderId="19" xfId="0" applyFont="1" applyBorder="1" applyAlignment="1">
      <alignment horizontal="center" wrapText="1"/>
    </xf>
    <xf numFmtId="0" fontId="11" fillId="7" borderId="18" xfId="0" applyFont="1" applyFill="1" applyBorder="1" applyAlignment="1">
      <alignment horizontal="center" vertical="center"/>
    </xf>
    <xf numFmtId="0" fontId="11" fillId="7" borderId="23" xfId="0" applyFont="1" applyFill="1" applyBorder="1" applyAlignment="1">
      <alignment horizontal="center" vertical="center"/>
    </xf>
    <xf numFmtId="0" fontId="11" fillId="7" borderId="20"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14" xfId="0" applyFont="1" applyFill="1" applyBorder="1" applyAlignment="1">
      <alignment horizontal="center" vertical="center"/>
    </xf>
    <xf numFmtId="0" fontId="12" fillId="2" borderId="15" xfId="0" applyFont="1" applyFill="1" applyBorder="1" applyAlignment="1">
      <alignment horizontal="center" vertical="center"/>
    </xf>
    <xf numFmtId="0" fontId="13" fillId="6" borderId="0" xfId="0" applyFont="1" applyFill="1" applyAlignment="1">
      <alignment horizont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11" fillId="0" borderId="1" xfId="0" applyFont="1" applyBorder="1" applyAlignment="1">
      <alignment horizontal="center" vertical="center"/>
    </xf>
    <xf numFmtId="0" fontId="0" fillId="0" borderId="2" xfId="0" applyBorder="1" applyAlignment="1">
      <alignment horizontal="center"/>
    </xf>
    <xf numFmtId="0" fontId="0" fillId="0" borderId="5" xfId="0"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7" fillId="0" borderId="1" xfId="0" applyFont="1" applyBorder="1" applyAlignment="1">
      <alignment horizontal="center" vertical="center" wrapText="1"/>
    </xf>
    <xf numFmtId="0" fontId="7" fillId="0" borderId="20" xfId="0" applyFont="1" applyFill="1" applyBorder="1" applyAlignment="1">
      <alignment horizontal="center" vertical="center" wrapText="1"/>
    </xf>
    <xf numFmtId="0" fontId="7" fillId="0" borderId="1" xfId="0" applyFont="1" applyFill="1" applyBorder="1" applyAlignment="1">
      <alignment horizontal="center" vertical="center" wrapText="1"/>
    </xf>
  </cellXfs>
  <cellStyles count="1">
    <cellStyle name="Normal" xfId="0" builtinId="0"/>
  </cellStyles>
  <dxfs count="36">
    <dxf>
      <fill>
        <patternFill>
          <bgColor rgb="FF00B05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rgb="FF00B05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rgb="FF00B05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rgb="FF00B05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rgb="FF00B05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rgb="FF00B05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rgb="FF00B05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rgb="FF00B05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rgb="FF00B05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CESI">
      <a:dk1>
        <a:sysClr val="windowText" lastClr="000000"/>
      </a:dk1>
      <a:lt1>
        <a:sysClr val="window" lastClr="FFFFFF"/>
      </a:lt1>
      <a:dk2>
        <a:srgbClr val="44546A"/>
      </a:dk2>
      <a:lt2>
        <a:srgbClr val="E7E6E6"/>
      </a:lt2>
      <a:accent1>
        <a:srgbClr val="FBE216"/>
      </a:accent1>
      <a:accent2>
        <a:srgbClr val="AFA5D1"/>
      </a:accent2>
      <a:accent3>
        <a:srgbClr val="6FBC85"/>
      </a:accent3>
      <a:accent4>
        <a:srgbClr val="F0869D"/>
      </a:accent4>
      <a:accent5>
        <a:srgbClr val="6DC6DA"/>
      </a:accent5>
      <a:accent6>
        <a:srgbClr val="F5F5F5"/>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22"/>
  <sheetViews>
    <sheetView showGridLines="0" topLeftCell="A18" zoomScale="90" zoomScaleNormal="90" workbookViewId="0">
      <selection activeCell="G18" sqref="G18"/>
    </sheetView>
  </sheetViews>
  <sheetFormatPr baseColWidth="10" defaultColWidth="8.88671875" defaultRowHeight="14.4"/>
  <cols>
    <col min="1" max="1" width="3.5546875" style="33" customWidth="1"/>
    <col min="2" max="2" width="23.6640625" style="21" customWidth="1"/>
    <col min="3" max="4" width="35" style="10" customWidth="1"/>
    <col min="5" max="5" width="36.44140625" style="10" customWidth="1"/>
    <col min="6" max="6" width="28.33203125" style="10" customWidth="1"/>
    <col min="7" max="7" width="26.109375" style="10" customWidth="1"/>
    <col min="8" max="8" width="13.44140625" style="33" bestFit="1" customWidth="1"/>
    <col min="9" max="9" width="9.6640625" style="33" hidden="1" customWidth="1"/>
    <col min="10" max="10" width="21.88671875" style="33" customWidth="1"/>
    <col min="11" max="16384" width="8.88671875" style="33"/>
  </cols>
  <sheetData>
    <row r="1" spans="2:13" hidden="1">
      <c r="B1" s="33" t="s">
        <v>21</v>
      </c>
      <c r="C1" s="10" t="s">
        <v>22</v>
      </c>
      <c r="D1" s="10" t="s">
        <v>23</v>
      </c>
      <c r="E1" s="10" t="s">
        <v>24</v>
      </c>
    </row>
    <row r="2" spans="2:13" hidden="1">
      <c r="B2" s="33">
        <v>5</v>
      </c>
      <c r="C2" s="10">
        <v>4</v>
      </c>
      <c r="D2" s="10">
        <v>2</v>
      </c>
      <c r="E2" s="10">
        <v>1</v>
      </c>
    </row>
    <row r="4" spans="2:13" ht="30">
      <c r="B4" s="61" t="s">
        <v>82</v>
      </c>
      <c r="C4" s="61" t="s">
        <v>29</v>
      </c>
      <c r="D4" s="61"/>
      <c r="E4" s="61"/>
      <c r="F4" s="61"/>
      <c r="G4" s="43"/>
      <c r="H4" s="26"/>
      <c r="I4" s="22"/>
    </row>
    <row r="5" spans="2:13" ht="30">
      <c r="B5" s="43"/>
      <c r="C5" s="43"/>
      <c r="D5" s="43"/>
      <c r="E5" s="43"/>
      <c r="F5" s="43"/>
      <c r="G5" s="43"/>
      <c r="H5" s="22"/>
      <c r="I5" s="22"/>
    </row>
    <row r="6" spans="2:13" ht="28.8">
      <c r="B6" s="46" t="s">
        <v>45</v>
      </c>
      <c r="C6" s="44"/>
      <c r="D6" s="45"/>
      <c r="E6" s="45"/>
      <c r="F6" s="45"/>
      <c r="G6" s="45"/>
      <c r="H6" s="22"/>
      <c r="I6" s="22"/>
    </row>
    <row r="7" spans="2:13" ht="39" customHeight="1">
      <c r="B7" s="46" t="s">
        <v>80</v>
      </c>
      <c r="C7" s="1" t="e">
        <f>H22</f>
        <v>#N/A</v>
      </c>
      <c r="D7" s="52"/>
      <c r="E7" s="52"/>
      <c r="F7" s="52"/>
      <c r="G7" s="52"/>
    </row>
    <row r="8" spans="2:13" ht="18">
      <c r="B8" s="24"/>
      <c r="C8" s="37"/>
      <c r="D8" s="37"/>
      <c r="E8" s="37"/>
      <c r="F8" s="37"/>
      <c r="G8" s="37"/>
      <c r="H8" s="23"/>
      <c r="I8" s="23"/>
    </row>
    <row r="9" spans="2:13" ht="18" customHeight="1">
      <c r="B9" s="62" t="s">
        <v>27</v>
      </c>
      <c r="C9" s="62"/>
      <c r="D9" s="62"/>
      <c r="E9" s="62"/>
      <c r="F9" s="62"/>
      <c r="G9" s="62"/>
      <c r="H9" s="62"/>
      <c r="I9" s="62"/>
    </row>
    <row r="10" spans="2:13" ht="18" customHeight="1">
      <c r="B10" s="34"/>
      <c r="C10" s="34"/>
      <c r="D10" s="34"/>
      <c r="E10" s="34"/>
      <c r="F10" s="34"/>
      <c r="G10" s="34"/>
      <c r="H10" s="34"/>
      <c r="I10" s="34"/>
    </row>
    <row r="11" spans="2:13" ht="18">
      <c r="B11" s="25"/>
      <c r="C11" s="58" t="s">
        <v>0</v>
      </c>
      <c r="D11" s="58" t="s">
        <v>1</v>
      </c>
      <c r="E11" s="58" t="s">
        <v>2</v>
      </c>
      <c r="F11" s="58" t="s">
        <v>3</v>
      </c>
      <c r="G11" s="56" t="s">
        <v>103</v>
      </c>
      <c r="H11" s="56" t="s">
        <v>25</v>
      </c>
      <c r="I11" s="56" t="s">
        <v>4</v>
      </c>
    </row>
    <row r="12" spans="2:13" ht="65.400000000000006" customHeight="1">
      <c r="B12" s="59" t="s">
        <v>83</v>
      </c>
      <c r="C12" s="54" t="s">
        <v>96</v>
      </c>
      <c r="D12" s="88" t="s">
        <v>122</v>
      </c>
      <c r="E12" s="88" t="s">
        <v>123</v>
      </c>
      <c r="F12" s="88" t="s">
        <v>124</v>
      </c>
      <c r="G12" s="32"/>
      <c r="H12" s="32"/>
      <c r="I12" s="32" t="e">
        <f>HLOOKUP(H12,$B$1:$E$2,2)</f>
        <v>#N/A</v>
      </c>
      <c r="J12" s="63"/>
      <c r="K12" s="63"/>
      <c r="L12" s="63"/>
      <c r="M12" s="63"/>
    </row>
    <row r="13" spans="2:13" ht="70.8" customHeight="1">
      <c r="B13" s="59" t="s">
        <v>84</v>
      </c>
      <c r="C13" s="54" t="s">
        <v>97</v>
      </c>
      <c r="D13" s="89" t="s">
        <v>125</v>
      </c>
      <c r="E13" s="89" t="s">
        <v>126</v>
      </c>
      <c r="F13" s="89" t="s">
        <v>127</v>
      </c>
      <c r="G13" s="32"/>
      <c r="H13" s="32"/>
      <c r="I13" s="32" t="e">
        <f>HLOOKUP(H13,$B$1:$E$2,2)</f>
        <v>#N/A</v>
      </c>
      <c r="J13" s="36"/>
      <c r="K13" s="36"/>
      <c r="L13" s="36"/>
      <c r="M13" s="36"/>
    </row>
    <row r="14" spans="2:13" ht="64.8" customHeight="1">
      <c r="B14" s="59" t="s">
        <v>85</v>
      </c>
      <c r="C14" s="54" t="s">
        <v>121</v>
      </c>
      <c r="D14" s="90" t="s">
        <v>128</v>
      </c>
      <c r="E14" s="90" t="s">
        <v>129</v>
      </c>
      <c r="F14" s="90" t="s">
        <v>130</v>
      </c>
      <c r="G14" s="32"/>
      <c r="H14" s="32"/>
      <c r="I14" s="32" t="e">
        <f>HLOOKUP(H14,$B$1:$E$2,2)</f>
        <v>#N/A</v>
      </c>
      <c r="J14" s="36"/>
      <c r="K14" s="36"/>
      <c r="L14" s="36"/>
      <c r="M14" s="36"/>
    </row>
    <row r="15" spans="2:13" ht="89.4" customHeight="1">
      <c r="B15" s="59" t="s">
        <v>86</v>
      </c>
      <c r="C15" s="54" t="s">
        <v>98</v>
      </c>
      <c r="D15" s="88" t="s">
        <v>132</v>
      </c>
      <c r="E15" s="88" t="s">
        <v>131</v>
      </c>
      <c r="F15" s="88" t="s">
        <v>133</v>
      </c>
      <c r="G15" s="32"/>
      <c r="H15" s="32"/>
      <c r="I15" s="32" t="e">
        <f t="shared" ref="I15:I20" si="0">HLOOKUP(H15,$B$1:$E$2,2)</f>
        <v>#N/A</v>
      </c>
    </row>
    <row r="16" spans="2:13" ht="66.599999999999994" customHeight="1">
      <c r="B16" s="59" t="s">
        <v>87</v>
      </c>
      <c r="C16" s="54" t="s">
        <v>99</v>
      </c>
      <c r="D16" s="54" t="s">
        <v>134</v>
      </c>
      <c r="E16" s="54" t="s">
        <v>136</v>
      </c>
      <c r="F16" s="54" t="s">
        <v>135</v>
      </c>
      <c r="G16" s="32"/>
      <c r="H16" s="32"/>
      <c r="I16" s="32" t="e">
        <f>HLOOKUP(H16,$B$1:$E$2,2)</f>
        <v>#N/A</v>
      </c>
    </row>
    <row r="17" spans="2:10" ht="84.6" customHeight="1">
      <c r="B17" s="59" t="s">
        <v>88</v>
      </c>
      <c r="C17" s="53" t="s">
        <v>100</v>
      </c>
      <c r="D17" s="54" t="s">
        <v>137</v>
      </c>
      <c r="E17" s="54" t="s">
        <v>138</v>
      </c>
      <c r="F17" s="54" t="s">
        <v>139</v>
      </c>
      <c r="G17" s="32"/>
      <c r="H17" s="32"/>
      <c r="I17" s="32" t="e">
        <f t="shared" si="0"/>
        <v>#N/A</v>
      </c>
      <c r="J17" s="21"/>
    </row>
    <row r="18" spans="2:10" ht="67.8" customHeight="1">
      <c r="B18" s="59" t="s">
        <v>89</v>
      </c>
      <c r="C18" s="53" t="s">
        <v>101</v>
      </c>
      <c r="D18" s="54" t="s">
        <v>140</v>
      </c>
      <c r="E18" s="54" t="s">
        <v>141</v>
      </c>
      <c r="F18" s="54" t="s">
        <v>142</v>
      </c>
      <c r="G18" s="32"/>
      <c r="H18" s="32"/>
      <c r="I18" s="32" t="e">
        <f t="shared" si="0"/>
        <v>#N/A</v>
      </c>
      <c r="J18" s="21"/>
    </row>
    <row r="19" spans="2:10" ht="98.4" customHeight="1">
      <c r="B19" s="59" t="s">
        <v>90</v>
      </c>
      <c r="C19" s="53" t="s">
        <v>102</v>
      </c>
      <c r="D19" s="90" t="s">
        <v>143</v>
      </c>
      <c r="E19" s="90" t="s">
        <v>144</v>
      </c>
      <c r="F19" s="90" t="s">
        <v>145</v>
      </c>
      <c r="G19" s="32"/>
      <c r="H19" s="32"/>
      <c r="I19" s="32" t="e">
        <f t="shared" si="0"/>
        <v>#N/A</v>
      </c>
    </row>
    <row r="20" spans="2:10" ht="97.2" customHeight="1" thickBot="1">
      <c r="B20" s="59" t="s">
        <v>91</v>
      </c>
      <c r="C20" s="55" t="s">
        <v>92</v>
      </c>
      <c r="D20" s="55" t="s">
        <v>93</v>
      </c>
      <c r="E20" s="55" t="s">
        <v>94</v>
      </c>
      <c r="F20" s="55" t="s">
        <v>95</v>
      </c>
      <c r="G20" s="32"/>
      <c r="H20" s="32"/>
      <c r="I20" s="32" t="e">
        <f t="shared" si="0"/>
        <v>#N/A</v>
      </c>
    </row>
    <row r="21" spans="2:10">
      <c r="B21" s="30"/>
      <c r="C21" s="38"/>
      <c r="D21" s="38"/>
      <c r="E21" s="38"/>
      <c r="F21" s="38"/>
      <c r="G21" s="38"/>
      <c r="H21" s="20"/>
      <c r="I21" s="42"/>
    </row>
    <row r="22" spans="2:10" ht="25.8">
      <c r="B22" s="30"/>
      <c r="C22" s="38"/>
      <c r="D22" s="38"/>
      <c r="E22" s="38"/>
      <c r="F22" s="39"/>
      <c r="G22" s="39"/>
      <c r="H22" s="32" t="e">
        <f>IF(I22&gt;=4.6,"A",IF(I22&gt;=3.6, "B", IF(I22&lt;=1.6,"D","C")))</f>
        <v>#N/A</v>
      </c>
      <c r="I22" s="32" t="e">
        <f>AVERAGE(I12:I20)</f>
        <v>#N/A</v>
      </c>
    </row>
  </sheetData>
  <mergeCells count="3">
    <mergeCell ref="B4:F4"/>
    <mergeCell ref="B9:I9"/>
    <mergeCell ref="J12:M12"/>
  </mergeCells>
  <conditionalFormatting sqref="B21:I21 B12:F20 H12:I20 B22:G22">
    <cfRule type="cellIs" dxfId="35" priority="21" operator="equal">
      <formula>"D"</formula>
    </cfRule>
    <cfRule type="cellIs" dxfId="34" priority="22" operator="equal">
      <formula>"C"</formula>
    </cfRule>
    <cfRule type="cellIs" dxfId="33" priority="23" operator="equal">
      <formula>"B"</formula>
    </cfRule>
    <cfRule type="cellIs" dxfId="32" priority="24" operator="equal">
      <formula>"A"</formula>
    </cfRule>
  </conditionalFormatting>
  <conditionalFormatting sqref="B12:B18">
    <cfRule type="cellIs" dxfId="31" priority="13" operator="equal">
      <formula>"D"</formula>
    </cfRule>
    <cfRule type="cellIs" dxfId="30" priority="14" operator="equal">
      <formula>"C"</formula>
    </cfRule>
    <cfRule type="cellIs" dxfId="29" priority="15" operator="equal">
      <formula>"B"</formula>
    </cfRule>
    <cfRule type="cellIs" dxfId="28" priority="16" operator="equal">
      <formula>"A"</formula>
    </cfRule>
  </conditionalFormatting>
  <conditionalFormatting sqref="G12:G20">
    <cfRule type="cellIs" dxfId="27" priority="5" operator="equal">
      <formula>"D"</formula>
    </cfRule>
    <cfRule type="cellIs" dxfId="26" priority="6" operator="equal">
      <formula>"C"</formula>
    </cfRule>
    <cfRule type="cellIs" dxfId="25" priority="7" operator="equal">
      <formula>"B"</formula>
    </cfRule>
    <cfRule type="cellIs" dxfId="24" priority="8" operator="equal">
      <formula>"A"</formula>
    </cfRule>
  </conditionalFormatting>
  <conditionalFormatting sqref="H22:I22">
    <cfRule type="cellIs" dxfId="23" priority="1" operator="equal">
      <formula>"D"</formula>
    </cfRule>
    <cfRule type="cellIs" dxfId="22" priority="2" operator="equal">
      <formula>"C"</formula>
    </cfRule>
    <cfRule type="cellIs" dxfId="21" priority="3" operator="equal">
      <formula>"B"</formula>
    </cfRule>
    <cfRule type="cellIs" dxfId="20" priority="4" operator="equal">
      <formula>"A"</formula>
    </cfRule>
  </conditionalFormatting>
  <dataValidations count="1">
    <dataValidation type="list" allowBlank="1" showInputMessage="1" showErrorMessage="1" sqref="H12:H20">
      <formula1>$B$1:$E$1</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36"/>
  <sheetViews>
    <sheetView showGridLines="0" tabSelected="1" topLeftCell="D3" zoomScale="80" zoomScaleNormal="80" workbookViewId="0">
      <selection activeCell="Q14" sqref="Q14"/>
    </sheetView>
  </sheetViews>
  <sheetFormatPr baseColWidth="10" defaultColWidth="8.88671875" defaultRowHeight="14.4"/>
  <cols>
    <col min="1" max="1" width="3.5546875" customWidth="1"/>
    <col min="2" max="2" width="23.6640625" style="21" customWidth="1"/>
    <col min="3" max="4" width="35" style="10" customWidth="1"/>
    <col min="5" max="5" width="36.44140625" style="10" customWidth="1"/>
    <col min="6" max="6" width="26.109375" style="10" customWidth="1"/>
    <col min="7" max="7" width="13.44140625" bestFit="1" customWidth="1"/>
    <col min="8" max="8" width="10.109375" style="17" bestFit="1" customWidth="1"/>
    <col min="9" max="9" width="13.44140625" bestFit="1" customWidth="1"/>
    <col min="10" max="10" width="10.109375" style="17" bestFit="1" customWidth="1"/>
    <col min="11" max="11" width="13.44140625" bestFit="1" customWidth="1"/>
    <col min="12" max="12" width="10.109375" style="17" bestFit="1" customWidth="1"/>
    <col min="13" max="13" width="13.44140625" bestFit="1" customWidth="1"/>
    <col min="14" max="14" width="10.109375" style="17" bestFit="1" customWidth="1"/>
    <col min="15" max="15" width="7.6640625" style="17" bestFit="1" customWidth="1"/>
    <col min="16" max="16" width="21.88671875" customWidth="1"/>
  </cols>
  <sheetData>
    <row r="1" spans="2:19" hidden="1">
      <c r="B1" s="17" t="s">
        <v>21</v>
      </c>
      <c r="C1" s="10" t="s">
        <v>22</v>
      </c>
      <c r="D1" s="10" t="s">
        <v>23</v>
      </c>
      <c r="E1" s="10" t="s">
        <v>24</v>
      </c>
    </row>
    <row r="2" spans="2:19" s="17" customFormat="1" hidden="1">
      <c r="B2" s="17">
        <v>5</v>
      </c>
      <c r="C2" s="10">
        <v>4</v>
      </c>
      <c r="D2" s="10">
        <v>2</v>
      </c>
      <c r="E2" s="10">
        <v>1</v>
      </c>
      <c r="F2" s="10"/>
    </row>
    <row r="3" spans="2:19" s="17" customFormat="1">
      <c r="B3" s="21"/>
      <c r="C3" s="10"/>
      <c r="D3" s="10"/>
      <c r="E3" s="10"/>
      <c r="F3" s="10"/>
    </row>
    <row r="4" spans="2:19" ht="30">
      <c r="B4" s="61" t="s">
        <v>50</v>
      </c>
      <c r="C4" s="61" t="s">
        <v>29</v>
      </c>
      <c r="D4" s="61"/>
      <c r="E4" s="61"/>
      <c r="F4" s="61"/>
      <c r="G4" s="26"/>
      <c r="H4" s="22"/>
      <c r="I4" s="22"/>
      <c r="J4" s="22"/>
      <c r="K4" s="22"/>
      <c r="L4" s="22"/>
      <c r="M4" s="22"/>
      <c r="N4" s="22"/>
      <c r="O4" s="22"/>
    </row>
    <row r="5" spans="2:19" s="33" customFormat="1" ht="30">
      <c r="B5" s="43"/>
      <c r="C5" s="43"/>
      <c r="D5" s="43"/>
      <c r="E5" s="43"/>
      <c r="F5" s="43"/>
      <c r="G5" s="22"/>
      <c r="H5" s="22"/>
      <c r="I5" s="22"/>
      <c r="J5" s="22"/>
      <c r="K5" s="22"/>
      <c r="L5" s="22"/>
      <c r="M5" s="22"/>
      <c r="N5" s="22"/>
      <c r="O5" s="22"/>
    </row>
    <row r="6" spans="2:19" s="33" customFormat="1" ht="28.8">
      <c r="B6" s="46" t="s">
        <v>45</v>
      </c>
      <c r="C6" s="44"/>
      <c r="D6" s="45"/>
      <c r="E6" s="45"/>
      <c r="F6" s="45"/>
      <c r="G6" s="22"/>
      <c r="H6" s="22"/>
      <c r="I6" s="22"/>
      <c r="J6" s="22"/>
      <c r="K6" s="22"/>
      <c r="L6" s="22"/>
      <c r="M6" s="22"/>
      <c r="N6" s="22"/>
      <c r="O6" s="22"/>
    </row>
    <row r="7" spans="2:19" s="17" customFormat="1" ht="21">
      <c r="B7" s="46" t="s">
        <v>28</v>
      </c>
      <c r="C7" s="47"/>
      <c r="D7" s="47"/>
      <c r="E7" s="47"/>
      <c r="F7" s="47"/>
      <c r="G7" s="68"/>
      <c r="H7" s="68"/>
      <c r="I7" s="68"/>
      <c r="J7" s="68"/>
      <c r="K7" s="68"/>
      <c r="L7" s="68"/>
      <c r="M7" s="68"/>
      <c r="N7" s="22"/>
      <c r="O7" s="22"/>
    </row>
    <row r="8" spans="2:19" ht="39" customHeight="1">
      <c r="B8" s="46" t="s">
        <v>80</v>
      </c>
      <c r="C8" s="1" t="e">
        <f>G33</f>
        <v>#N/A</v>
      </c>
      <c r="D8" s="1" t="e">
        <f>I33</f>
        <v>#N/A</v>
      </c>
      <c r="E8" s="1" t="e">
        <f>K33</f>
        <v>#N/A</v>
      </c>
      <c r="F8" s="1" t="e">
        <f>M33</f>
        <v>#N/A</v>
      </c>
    </row>
    <row r="9" spans="2:19" s="17" customFormat="1" ht="18">
      <c r="B9" s="24"/>
      <c r="C9" s="37"/>
      <c r="D9" s="37"/>
      <c r="E9" s="37"/>
      <c r="F9" s="37"/>
      <c r="G9" s="23"/>
      <c r="H9" s="23"/>
      <c r="I9" s="23"/>
      <c r="J9" s="23"/>
      <c r="K9" s="23"/>
      <c r="L9" s="23"/>
      <c r="M9" s="23"/>
      <c r="N9" s="23"/>
      <c r="O9" s="23"/>
    </row>
    <row r="10" spans="2:19" s="17" customFormat="1" ht="18" customHeight="1">
      <c r="B10" s="62" t="s">
        <v>27</v>
      </c>
      <c r="C10" s="62"/>
      <c r="D10" s="62"/>
      <c r="E10" s="62"/>
      <c r="F10" s="62"/>
      <c r="G10" s="62"/>
      <c r="H10" s="62"/>
      <c r="I10" s="62"/>
      <c r="J10" s="62"/>
      <c r="K10" s="62"/>
      <c r="L10" s="62"/>
      <c r="M10" s="62"/>
      <c r="N10" s="62"/>
      <c r="O10" s="62"/>
    </row>
    <row r="11" spans="2:19" s="33" customFormat="1" ht="18" customHeight="1">
      <c r="B11" s="34"/>
      <c r="C11" s="34"/>
      <c r="D11" s="34"/>
      <c r="E11" s="34"/>
      <c r="F11" s="34"/>
      <c r="G11" s="34"/>
      <c r="H11" s="34"/>
      <c r="I11" s="34"/>
      <c r="J11" s="34"/>
      <c r="K11" s="34"/>
      <c r="L11" s="34"/>
      <c r="M11" s="34"/>
      <c r="N11" s="34"/>
      <c r="O11" s="34"/>
    </row>
    <row r="12" spans="2:19" ht="18">
      <c r="B12" s="25"/>
      <c r="C12" s="58" t="s">
        <v>0</v>
      </c>
      <c r="D12" s="58" t="s">
        <v>1</v>
      </c>
      <c r="E12" s="58" t="s">
        <v>2</v>
      </c>
      <c r="F12" s="58" t="s">
        <v>3</v>
      </c>
      <c r="G12" s="80" t="s">
        <v>25</v>
      </c>
      <c r="H12" s="81"/>
      <c r="I12" s="81"/>
      <c r="J12" s="81"/>
      <c r="K12" s="81"/>
      <c r="L12" s="81"/>
      <c r="M12" s="82"/>
      <c r="N12" s="23"/>
      <c r="O12" s="23" t="s">
        <v>4</v>
      </c>
    </row>
    <row r="13" spans="2:19" ht="83.4" customHeight="1">
      <c r="B13" s="59" t="s">
        <v>56</v>
      </c>
      <c r="C13" s="49" t="s">
        <v>57</v>
      </c>
      <c r="D13" s="29" t="s">
        <v>58</v>
      </c>
      <c r="E13" s="29" t="s">
        <v>59</v>
      </c>
      <c r="F13" s="29" t="s">
        <v>60</v>
      </c>
      <c r="G13" s="64"/>
      <c r="H13" s="65"/>
      <c r="I13" s="65"/>
      <c r="J13" s="65"/>
      <c r="K13" s="65"/>
      <c r="L13" s="65"/>
      <c r="M13" s="66"/>
      <c r="N13" s="28"/>
      <c r="O13" s="28" t="e">
        <f>HLOOKUP(G13,$B$1:$E$2,2)</f>
        <v>#N/A</v>
      </c>
      <c r="P13" s="67"/>
      <c r="Q13" s="63"/>
      <c r="R13" s="63"/>
      <c r="S13" s="63"/>
    </row>
    <row r="14" spans="2:19" s="33" customFormat="1" ht="58.8" customHeight="1">
      <c r="B14" s="59" t="s">
        <v>51</v>
      </c>
      <c r="C14" s="29" t="s">
        <v>61</v>
      </c>
      <c r="D14" s="50" t="s">
        <v>118</v>
      </c>
      <c r="E14" s="50" t="s">
        <v>120</v>
      </c>
      <c r="F14" s="50" t="s">
        <v>119</v>
      </c>
      <c r="G14" s="64"/>
      <c r="H14" s="65"/>
      <c r="I14" s="65"/>
      <c r="J14" s="65"/>
      <c r="K14" s="65"/>
      <c r="L14" s="65"/>
      <c r="M14" s="66"/>
      <c r="N14" s="28"/>
      <c r="O14" s="28" t="e">
        <f>HLOOKUP(G14,$B$1:$E$2,2)</f>
        <v>#N/A</v>
      </c>
      <c r="P14" s="36"/>
      <c r="Q14" s="36"/>
      <c r="R14" s="36"/>
      <c r="S14" s="36"/>
    </row>
    <row r="15" spans="2:19" s="33" customFormat="1" ht="64.8" customHeight="1">
      <c r="B15" s="59" t="s">
        <v>52</v>
      </c>
      <c r="C15" s="29" t="s">
        <v>62</v>
      </c>
      <c r="D15" s="27" t="s">
        <v>115</v>
      </c>
      <c r="E15" s="27" t="s">
        <v>116</v>
      </c>
      <c r="F15" s="27" t="s">
        <v>117</v>
      </c>
      <c r="G15" s="64"/>
      <c r="H15" s="65"/>
      <c r="I15" s="65"/>
      <c r="J15" s="65"/>
      <c r="K15" s="65"/>
      <c r="L15" s="65"/>
      <c r="M15" s="66"/>
      <c r="N15" s="28"/>
      <c r="O15" s="28" t="e">
        <f>HLOOKUP(G15,$B$1:$E$2,2)</f>
        <v>#N/A</v>
      </c>
      <c r="P15" s="35"/>
      <c r="Q15" s="35"/>
      <c r="R15" s="35"/>
      <c r="S15" s="35"/>
    </row>
    <row r="16" spans="2:19" ht="77.400000000000006" customHeight="1">
      <c r="B16" s="59" t="s">
        <v>107</v>
      </c>
      <c r="C16" s="29" t="s">
        <v>109</v>
      </c>
      <c r="D16" s="29" t="s">
        <v>110</v>
      </c>
      <c r="E16" s="29" t="s">
        <v>113</v>
      </c>
      <c r="F16" s="29" t="s">
        <v>114</v>
      </c>
      <c r="G16" s="64"/>
      <c r="H16" s="65"/>
      <c r="I16" s="65"/>
      <c r="J16" s="65"/>
      <c r="K16" s="65"/>
      <c r="L16" s="65"/>
      <c r="M16" s="66"/>
      <c r="N16" s="28"/>
      <c r="O16" s="28" t="e">
        <f t="shared" ref="O16:O22" si="0">HLOOKUP(G16,$B$1:$E$2,2)</f>
        <v>#N/A</v>
      </c>
    </row>
    <row r="17" spans="2:16" s="33" customFormat="1" ht="77.400000000000006" customHeight="1">
      <c r="B17" s="59" t="s">
        <v>106</v>
      </c>
      <c r="C17" s="29" t="s">
        <v>108</v>
      </c>
      <c r="D17" s="29" t="s">
        <v>111</v>
      </c>
      <c r="E17" s="29" t="s">
        <v>112</v>
      </c>
      <c r="F17" s="29"/>
      <c r="G17" s="64"/>
      <c r="H17" s="65"/>
      <c r="I17" s="65"/>
      <c r="J17" s="65"/>
      <c r="K17" s="65"/>
      <c r="L17" s="65"/>
      <c r="M17" s="66"/>
      <c r="N17" s="28"/>
      <c r="O17" s="28" t="e">
        <f t="shared" ref="O17" si="1">HLOOKUP(G17,$B$1:$E$2,2)</f>
        <v>#N/A</v>
      </c>
    </row>
    <row r="18" spans="2:16" ht="84" customHeight="1">
      <c r="B18" s="59" t="s">
        <v>53</v>
      </c>
      <c r="C18" s="48" t="s">
        <v>63</v>
      </c>
      <c r="D18" s="48" t="s">
        <v>64</v>
      </c>
      <c r="E18" s="48" t="s">
        <v>65</v>
      </c>
      <c r="F18" s="48" t="s">
        <v>66</v>
      </c>
      <c r="G18" s="64"/>
      <c r="H18" s="65"/>
      <c r="I18" s="65"/>
      <c r="J18" s="65"/>
      <c r="K18" s="65"/>
      <c r="L18" s="65"/>
      <c r="M18" s="66"/>
      <c r="N18" s="28"/>
      <c r="O18" s="28" t="e">
        <f>HLOOKUP(G18,$B$1:$E$2,2)</f>
        <v>#N/A</v>
      </c>
    </row>
    <row r="19" spans="2:16" ht="78" customHeight="1">
      <c r="B19" s="59" t="s">
        <v>54</v>
      </c>
      <c r="C19" s="48" t="s">
        <v>67</v>
      </c>
      <c r="D19" s="48" t="s">
        <v>68</v>
      </c>
      <c r="E19" s="48" t="s">
        <v>69</v>
      </c>
      <c r="F19" s="48" t="s">
        <v>70</v>
      </c>
      <c r="G19" s="76"/>
      <c r="H19" s="77"/>
      <c r="I19" s="77"/>
      <c r="J19" s="77"/>
      <c r="K19" s="77"/>
      <c r="L19" s="77"/>
      <c r="M19" s="78"/>
      <c r="N19" s="28"/>
      <c r="O19" s="28" t="e">
        <f t="shared" si="0"/>
        <v>#N/A</v>
      </c>
      <c r="P19" s="21"/>
    </row>
    <row r="20" spans="2:16" s="33" customFormat="1" ht="87.6" customHeight="1">
      <c r="B20" s="59" t="s">
        <v>55</v>
      </c>
      <c r="C20" s="48" t="s">
        <v>71</v>
      </c>
      <c r="D20" s="48" t="s">
        <v>72</v>
      </c>
      <c r="E20" s="48" t="s">
        <v>73</v>
      </c>
      <c r="F20" s="48" t="s">
        <v>74</v>
      </c>
      <c r="G20" s="76"/>
      <c r="H20" s="77"/>
      <c r="I20" s="77"/>
      <c r="J20" s="77"/>
      <c r="K20" s="77"/>
      <c r="L20" s="77"/>
      <c r="M20" s="78"/>
      <c r="N20" s="28"/>
      <c r="O20" s="28" t="e">
        <f t="shared" si="0"/>
        <v>#N/A</v>
      </c>
      <c r="P20" s="21"/>
    </row>
    <row r="21" spans="2:16" s="17" customFormat="1" ht="128.4" customHeight="1">
      <c r="B21" s="59" t="s">
        <v>30</v>
      </c>
      <c r="C21" s="27" t="s">
        <v>31</v>
      </c>
      <c r="D21" s="27" t="s">
        <v>33</v>
      </c>
      <c r="E21" s="27" t="s">
        <v>34</v>
      </c>
      <c r="F21" s="27" t="s">
        <v>35</v>
      </c>
      <c r="G21" s="76"/>
      <c r="H21" s="77"/>
      <c r="I21" s="77"/>
      <c r="J21" s="77"/>
      <c r="K21" s="77"/>
      <c r="L21" s="77"/>
      <c r="M21" s="78"/>
      <c r="N21" s="28"/>
      <c r="O21" s="28" t="e">
        <f t="shared" si="0"/>
        <v>#N/A</v>
      </c>
    </row>
    <row r="22" spans="2:16" ht="131.4" customHeight="1">
      <c r="B22" s="59" t="s">
        <v>20</v>
      </c>
      <c r="C22" s="27" t="s">
        <v>32</v>
      </c>
      <c r="D22" s="27" t="s">
        <v>36</v>
      </c>
      <c r="E22" s="27" t="s">
        <v>37</v>
      </c>
      <c r="F22" s="27" t="s">
        <v>38</v>
      </c>
      <c r="G22" s="64"/>
      <c r="H22" s="65"/>
      <c r="I22" s="65"/>
      <c r="J22" s="65"/>
      <c r="K22" s="65"/>
      <c r="L22" s="65"/>
      <c r="M22" s="66"/>
      <c r="N22" s="28"/>
      <c r="O22" s="28" t="e">
        <f t="shared" si="0"/>
        <v>#N/A</v>
      </c>
    </row>
    <row r="23" spans="2:16">
      <c r="B23" s="30"/>
      <c r="C23" s="38"/>
      <c r="D23" s="38"/>
      <c r="E23" s="38"/>
      <c r="F23" s="38"/>
      <c r="G23" s="20"/>
      <c r="H23" s="20"/>
      <c r="I23" s="20"/>
      <c r="J23" s="20"/>
      <c r="K23" s="20"/>
      <c r="L23" s="20"/>
      <c r="M23" s="20"/>
      <c r="N23" s="20"/>
      <c r="O23" s="20"/>
    </row>
    <row r="24" spans="2:16" s="17" customFormat="1" ht="21">
      <c r="B24" s="79" t="s">
        <v>26</v>
      </c>
      <c r="C24" s="79"/>
      <c r="D24" s="79"/>
      <c r="E24" s="79"/>
      <c r="F24" s="79"/>
      <c r="G24" s="79"/>
      <c r="H24" s="79"/>
      <c r="I24" s="79"/>
      <c r="J24" s="79"/>
      <c r="K24" s="79"/>
      <c r="L24" s="79"/>
      <c r="M24" s="79"/>
      <c r="N24" s="79"/>
      <c r="O24" s="79"/>
    </row>
    <row r="25" spans="2:16">
      <c r="B25" s="30"/>
      <c r="C25" s="38"/>
      <c r="D25" s="38"/>
      <c r="E25" s="38"/>
      <c r="F25" s="38"/>
      <c r="G25" s="31"/>
      <c r="H25" s="31"/>
      <c r="I25" s="31"/>
      <c r="J25" s="31"/>
      <c r="K25" s="31"/>
      <c r="L25" s="31"/>
      <c r="M25" s="31"/>
      <c r="N25" s="31"/>
      <c r="O25" s="20"/>
    </row>
    <row r="26" spans="2:16" s="17" customFormat="1" ht="18">
      <c r="B26" s="70"/>
      <c r="C26" s="73" t="s">
        <v>0</v>
      </c>
      <c r="D26" s="73" t="s">
        <v>1</v>
      </c>
      <c r="E26" s="73" t="s">
        <v>2</v>
      </c>
      <c r="F26" s="73" t="s">
        <v>3</v>
      </c>
      <c r="G26" s="69" t="s">
        <v>25</v>
      </c>
      <c r="H26" s="69"/>
      <c r="I26" s="69"/>
      <c r="J26" s="69"/>
      <c r="K26" s="69"/>
      <c r="L26" s="69"/>
      <c r="M26" s="69"/>
      <c r="N26" s="69"/>
      <c r="O26" s="40"/>
    </row>
    <row r="27" spans="2:16" s="33" customFormat="1" ht="18">
      <c r="B27" s="71"/>
      <c r="C27" s="74"/>
      <c r="D27" s="74"/>
      <c r="E27" s="74"/>
      <c r="F27" s="74"/>
      <c r="G27" s="83" t="s">
        <v>46</v>
      </c>
      <c r="H27" s="83"/>
      <c r="I27" s="83" t="s">
        <v>47</v>
      </c>
      <c r="J27" s="83"/>
      <c r="K27" s="83" t="s">
        <v>48</v>
      </c>
      <c r="L27" s="83"/>
      <c r="M27" s="83" t="s">
        <v>49</v>
      </c>
      <c r="N27" s="83"/>
      <c r="O27" s="51"/>
    </row>
    <row r="28" spans="2:16" s="33" customFormat="1" ht="18">
      <c r="B28" s="72"/>
      <c r="C28" s="75"/>
      <c r="D28" s="75"/>
      <c r="E28" s="75"/>
      <c r="F28" s="75"/>
      <c r="G28" s="83">
        <f>C7</f>
        <v>0</v>
      </c>
      <c r="H28" s="83"/>
      <c r="I28" s="83">
        <f>D7</f>
        <v>0</v>
      </c>
      <c r="J28" s="83"/>
      <c r="K28" s="83">
        <f>E7</f>
        <v>0</v>
      </c>
      <c r="L28" s="83"/>
      <c r="M28" s="83">
        <f>F7</f>
        <v>0</v>
      </c>
      <c r="N28" s="83"/>
      <c r="O28" s="57" t="s">
        <v>104</v>
      </c>
    </row>
    <row r="29" spans="2:16" ht="100.8">
      <c r="B29" s="60" t="s">
        <v>40</v>
      </c>
      <c r="C29" s="29" t="s">
        <v>16</v>
      </c>
      <c r="D29" s="29" t="s">
        <v>17</v>
      </c>
      <c r="E29" s="29" t="s">
        <v>18</v>
      </c>
      <c r="F29" s="29" t="s">
        <v>19</v>
      </c>
      <c r="G29" s="32"/>
      <c r="H29" s="32" t="e">
        <f>HLOOKUP(G29,$B$1:$E$2,2)</f>
        <v>#N/A</v>
      </c>
      <c r="I29" s="32"/>
      <c r="J29" s="32" t="e">
        <f>HLOOKUP(I29,$B$1:$E$2,2)</f>
        <v>#N/A</v>
      </c>
      <c r="K29" s="32"/>
      <c r="L29" s="32" t="e">
        <f>HLOOKUP(K29,$B$1:$E$2,2)</f>
        <v>#N/A</v>
      </c>
      <c r="M29" s="32"/>
      <c r="N29" s="32" t="e">
        <f>HLOOKUP(M29,$B$1:$E$2,2)</f>
        <v>#N/A</v>
      </c>
      <c r="O29" s="41"/>
    </row>
    <row r="30" spans="2:16" s="33" customFormat="1" ht="170.4" customHeight="1">
      <c r="B30" s="60" t="s">
        <v>75</v>
      </c>
      <c r="C30" s="48" t="s">
        <v>79</v>
      </c>
      <c r="D30" s="48" t="s">
        <v>78</v>
      </c>
      <c r="E30" s="48" t="s">
        <v>77</v>
      </c>
      <c r="F30" s="48" t="s">
        <v>76</v>
      </c>
      <c r="G30" s="32"/>
      <c r="H30" s="32" t="e">
        <f>HLOOKUP(G30,$B$1:$E$2,2)</f>
        <v>#N/A</v>
      </c>
      <c r="I30" s="32"/>
      <c r="J30" s="32" t="e">
        <f>HLOOKUP(I30,$B$1:$E$2,2)</f>
        <v>#N/A</v>
      </c>
      <c r="K30" s="32"/>
      <c r="L30" s="32" t="e">
        <f>HLOOKUP(K30,$B$1:$E$2,2)</f>
        <v>#N/A</v>
      </c>
      <c r="M30" s="32"/>
      <c r="N30" s="32" t="e">
        <f>HLOOKUP(M30,$B$1:$E$2,2)</f>
        <v>#N/A</v>
      </c>
      <c r="O30" s="41"/>
    </row>
    <row r="31" spans="2:16" s="33" customFormat="1" ht="88.2" customHeight="1">
      <c r="B31" s="60" t="s">
        <v>44</v>
      </c>
      <c r="C31" s="29" t="s">
        <v>39</v>
      </c>
      <c r="D31" s="29" t="s">
        <v>43</v>
      </c>
      <c r="E31" s="29" t="s">
        <v>42</v>
      </c>
      <c r="F31" s="29" t="s">
        <v>41</v>
      </c>
      <c r="G31" s="32"/>
      <c r="H31" s="32" t="e">
        <f>HLOOKUP(G31,$B$1:$E$2,2)</f>
        <v>#N/A</v>
      </c>
      <c r="I31" s="32"/>
      <c r="J31" s="32" t="e">
        <f>HLOOKUP(I31,$B$1:$E$2,2)</f>
        <v>#N/A</v>
      </c>
      <c r="K31" s="32"/>
      <c r="L31" s="32" t="e">
        <f>HLOOKUP(K31,$B$1:$E$2,2)</f>
        <v>#N/A</v>
      </c>
      <c r="M31" s="32"/>
      <c r="N31" s="32" t="e">
        <f>HLOOKUP(M31,$B$1:$E$2,2)</f>
        <v>#N/A</v>
      </c>
      <c r="O31" s="41"/>
    </row>
    <row r="32" spans="2:16">
      <c r="B32" s="30"/>
      <c r="C32" s="38"/>
      <c r="D32" s="38"/>
      <c r="E32" s="38"/>
      <c r="F32" s="38"/>
      <c r="G32" s="20"/>
      <c r="H32" s="20"/>
      <c r="I32" s="20"/>
      <c r="J32" s="20"/>
      <c r="K32" s="20"/>
      <c r="L32" s="20"/>
      <c r="M32" s="20"/>
      <c r="N32" s="20"/>
      <c r="O32" s="42"/>
    </row>
    <row r="33" spans="2:15" ht="25.8">
      <c r="B33" s="30"/>
      <c r="C33" s="38"/>
      <c r="D33" s="38"/>
      <c r="E33" s="38"/>
      <c r="F33" s="39"/>
      <c r="G33" s="32" t="e">
        <f>IF(H33&gt;=4.6,"A",IF(H33&gt;=3.6, "B", IF(H33&lt;=1.6,"D","C")))</f>
        <v>#N/A</v>
      </c>
      <c r="H33" s="32" t="e">
        <f>AVERAGE(H29:H31,$O13:$O22)</f>
        <v>#N/A</v>
      </c>
      <c r="I33" s="32" t="e">
        <f>IF(J33&gt;=4.6,"A",IF(J33&gt;=3.6, "B", IF(J33&lt;=1.6,"D","C")))</f>
        <v>#N/A</v>
      </c>
      <c r="J33" s="32" t="e">
        <f>AVERAGE(J29:J31,$O13:$O22)</f>
        <v>#N/A</v>
      </c>
      <c r="K33" s="32" t="e">
        <f>IF(L33&gt;=4.6,"A",IF(L33&gt;=3.6, "B", IF(L33&lt;=1.6,"D","C")))</f>
        <v>#N/A</v>
      </c>
      <c r="L33" s="32" t="e">
        <f>AVERAGE(L29:L31,$O13:$O22)</f>
        <v>#N/A</v>
      </c>
      <c r="M33" s="32" t="e">
        <f>IF(N33&gt;=4.6,"A",IF(N33&gt;=3.6, "B", IF(N33&lt;=1.6,"D","C")))</f>
        <v>#N/A</v>
      </c>
      <c r="N33" s="32" t="e">
        <f>AVERAGE(N29:N31,$O13:$O22)</f>
        <v>#N/A</v>
      </c>
      <c r="O33" s="41"/>
    </row>
    <row r="35" spans="2:15">
      <c r="G35" t="s">
        <v>81</v>
      </c>
    </row>
    <row r="36" spans="2:15">
      <c r="G36" t="s">
        <v>105</v>
      </c>
    </row>
  </sheetData>
  <mergeCells count="30">
    <mergeCell ref="G17:M17"/>
    <mergeCell ref="G28:H28"/>
    <mergeCell ref="I28:J28"/>
    <mergeCell ref="K28:L28"/>
    <mergeCell ref="M28:N28"/>
    <mergeCell ref="G27:H27"/>
    <mergeCell ref="I27:J27"/>
    <mergeCell ref="K27:L27"/>
    <mergeCell ref="M27:N27"/>
    <mergeCell ref="G18:M18"/>
    <mergeCell ref="G7:M7"/>
    <mergeCell ref="G26:N26"/>
    <mergeCell ref="B26:B28"/>
    <mergeCell ref="C26:C28"/>
    <mergeCell ref="D26:D28"/>
    <mergeCell ref="E26:E28"/>
    <mergeCell ref="F26:F28"/>
    <mergeCell ref="G21:M21"/>
    <mergeCell ref="B24:O24"/>
    <mergeCell ref="B10:O10"/>
    <mergeCell ref="G19:M19"/>
    <mergeCell ref="G22:M22"/>
    <mergeCell ref="G12:M12"/>
    <mergeCell ref="G20:M20"/>
    <mergeCell ref="G15:M15"/>
    <mergeCell ref="B4:F4"/>
    <mergeCell ref="G14:M14"/>
    <mergeCell ref="P13:S13"/>
    <mergeCell ref="G13:M13"/>
    <mergeCell ref="G16:M16"/>
  </mergeCells>
  <conditionalFormatting sqref="C20:F20">
    <cfRule type="cellIs" dxfId="19" priority="17" operator="equal">
      <formula>"D"</formula>
    </cfRule>
    <cfRule type="cellIs" dxfId="18" priority="18" operator="equal">
      <formula>"C"</formula>
    </cfRule>
    <cfRule type="cellIs" dxfId="17" priority="19" operator="equal">
      <formula>"B"</formula>
    </cfRule>
    <cfRule type="cellIs" dxfId="16" priority="20" operator="equal">
      <formula>"A"</formula>
    </cfRule>
  </conditionalFormatting>
  <conditionalFormatting sqref="I27 K27 M27 G27">
    <cfRule type="cellIs" dxfId="15" priority="9" operator="equal">
      <formula>"D"</formula>
    </cfRule>
    <cfRule type="cellIs" dxfId="14" priority="10" operator="equal">
      <formula>"C"</formula>
    </cfRule>
    <cfRule type="cellIs" dxfId="13" priority="11" operator="equal">
      <formula>"B"</formula>
    </cfRule>
    <cfRule type="cellIs" dxfId="12" priority="12" operator="equal">
      <formula>"A"</formula>
    </cfRule>
  </conditionalFormatting>
  <conditionalFormatting sqref="B13:B20">
    <cfRule type="cellIs" dxfId="11" priority="5" operator="equal">
      <formula>"D"</formula>
    </cfRule>
    <cfRule type="cellIs" dxfId="10" priority="6" operator="equal">
      <formula>"C"</formula>
    </cfRule>
    <cfRule type="cellIs" dxfId="9" priority="7" operator="equal">
      <formula>"B"</formula>
    </cfRule>
    <cfRule type="cellIs" dxfId="8" priority="8" operator="equal">
      <formula>"A"</formula>
    </cfRule>
  </conditionalFormatting>
  <conditionalFormatting sqref="B13:O33">
    <cfRule type="cellIs" dxfId="7" priority="21" operator="equal">
      <formula>"D"</formula>
    </cfRule>
    <cfRule type="cellIs" dxfId="6" priority="22" operator="equal">
      <formula>"C"</formula>
    </cfRule>
    <cfRule type="cellIs" dxfId="5" priority="23" operator="equal">
      <formula>"B"</formula>
    </cfRule>
    <cfRule type="cellIs" dxfId="4" priority="24" operator="equal">
      <formula>"A"</formula>
    </cfRule>
  </conditionalFormatting>
  <conditionalFormatting sqref="O27">
    <cfRule type="cellIs" dxfId="3" priority="1" operator="equal">
      <formula>"D"</formula>
    </cfRule>
    <cfRule type="cellIs" dxfId="2" priority="2" operator="equal">
      <formula>"C"</formula>
    </cfRule>
    <cfRule type="cellIs" dxfId="1" priority="3" operator="equal">
      <formula>"B"</formula>
    </cfRule>
    <cfRule type="cellIs" dxfId="0" priority="4" operator="equal">
      <formula>"A"</formula>
    </cfRule>
  </conditionalFormatting>
  <dataValidations count="1">
    <dataValidation type="list" allowBlank="1" showInputMessage="1" showErrorMessage="1" sqref="K29:K31 G29:G31 M29:M31 I29:I31 O29:O31 G13:N22">
      <formula1>$B$1:$E$1</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3"/>
  <sheetViews>
    <sheetView showGridLines="0" zoomScaleNormal="100" workbookViewId="0">
      <selection activeCell="B4" sqref="B4:F5"/>
    </sheetView>
  </sheetViews>
  <sheetFormatPr baseColWidth="10" defaultColWidth="8.88671875" defaultRowHeight="14.4"/>
  <cols>
    <col min="1" max="1" width="3.5546875" customWidth="1"/>
    <col min="2" max="2" width="37.33203125" bestFit="1" customWidth="1"/>
    <col min="3" max="6" width="35" customWidth="1"/>
    <col min="7" max="7" width="18" customWidth="1"/>
  </cols>
  <sheetData>
    <row r="1" spans="2:12" ht="15" thickBot="1"/>
    <row r="2" spans="2:12" ht="28.8">
      <c r="B2" s="84"/>
      <c r="C2" s="86" t="s">
        <v>11</v>
      </c>
      <c r="D2" s="86"/>
      <c r="E2" s="86"/>
      <c r="F2" s="86"/>
      <c r="G2" s="87"/>
    </row>
    <row r="3" spans="2:12" ht="50.4" customHeight="1">
      <c r="B3" s="85"/>
      <c r="C3" s="1" t="s">
        <v>0</v>
      </c>
      <c r="D3" s="1" t="s">
        <v>1</v>
      </c>
      <c r="E3" s="1" t="s">
        <v>2</v>
      </c>
      <c r="F3" s="1" t="s">
        <v>3</v>
      </c>
      <c r="G3" s="7" t="s">
        <v>4</v>
      </c>
      <c r="I3" s="5">
        <v>5</v>
      </c>
      <c r="J3" s="5">
        <v>4</v>
      </c>
      <c r="K3" s="5">
        <v>2</v>
      </c>
      <c r="L3" s="5">
        <v>1</v>
      </c>
    </row>
    <row r="4" spans="2:12" ht="122.4" customHeight="1">
      <c r="B4" s="4" t="s">
        <v>8</v>
      </c>
      <c r="C4" s="2" t="s">
        <v>9</v>
      </c>
      <c r="D4" s="2" t="s">
        <v>5</v>
      </c>
      <c r="E4" s="2" t="s">
        <v>6</v>
      </c>
      <c r="F4" s="3" t="s">
        <v>7</v>
      </c>
      <c r="G4" s="8">
        <v>5</v>
      </c>
    </row>
    <row r="5" spans="2:12" ht="122.4" customHeight="1" thickBot="1">
      <c r="B5" s="6" t="s">
        <v>10</v>
      </c>
      <c r="C5" s="11" t="s">
        <v>15</v>
      </c>
      <c r="D5" s="11" t="s">
        <v>5</v>
      </c>
      <c r="E5" s="11" t="s">
        <v>6</v>
      </c>
      <c r="F5" s="12" t="s">
        <v>7</v>
      </c>
      <c r="G5" s="9">
        <v>5</v>
      </c>
    </row>
    <row r="7" spans="2:12" ht="15" thickBot="1"/>
    <row r="8" spans="2:12" ht="28.8">
      <c r="B8" s="84"/>
      <c r="C8" s="86" t="s">
        <v>12</v>
      </c>
      <c r="D8" s="86"/>
      <c r="E8" s="86"/>
      <c r="F8" s="86"/>
      <c r="G8" s="87"/>
    </row>
    <row r="9" spans="2:12" ht="18">
      <c r="B9" s="85"/>
      <c r="C9" s="1" t="s">
        <v>0</v>
      </c>
      <c r="D9" s="1" t="s">
        <v>1</v>
      </c>
      <c r="E9" s="1" t="s">
        <v>2</v>
      </c>
      <c r="F9" s="1" t="s">
        <v>3</v>
      </c>
      <c r="G9" s="7" t="s">
        <v>4</v>
      </c>
    </row>
    <row r="10" spans="2:12" ht="122.4" customHeight="1">
      <c r="B10" s="4" t="s">
        <v>8</v>
      </c>
      <c r="C10" s="2" t="s">
        <v>9</v>
      </c>
      <c r="D10" s="2" t="s">
        <v>5</v>
      </c>
      <c r="E10" s="2" t="s">
        <v>6</v>
      </c>
      <c r="F10" s="3" t="s">
        <v>7</v>
      </c>
      <c r="G10" s="8">
        <v>5</v>
      </c>
    </row>
    <row r="11" spans="2:12" ht="122.4" customHeight="1" thickBot="1">
      <c r="B11" s="6" t="s">
        <v>10</v>
      </c>
      <c r="C11" s="13" t="s">
        <v>15</v>
      </c>
      <c r="D11" s="13" t="s">
        <v>5</v>
      </c>
      <c r="E11" s="13" t="s">
        <v>6</v>
      </c>
      <c r="F11" s="14" t="s">
        <v>7</v>
      </c>
      <c r="G11" s="9">
        <v>5</v>
      </c>
    </row>
    <row r="13" spans="2:12" ht="15" thickBot="1"/>
    <row r="14" spans="2:12" ht="28.8">
      <c r="B14" s="84"/>
      <c r="C14" s="86" t="s">
        <v>13</v>
      </c>
      <c r="D14" s="86"/>
      <c r="E14" s="86"/>
      <c r="F14" s="86"/>
      <c r="G14" s="87"/>
    </row>
    <row r="15" spans="2:12" ht="18">
      <c r="B15" s="85"/>
      <c r="C15" s="1" t="s">
        <v>0</v>
      </c>
      <c r="D15" s="1" t="s">
        <v>1</v>
      </c>
      <c r="E15" s="1" t="s">
        <v>2</v>
      </c>
      <c r="F15" s="1" t="s">
        <v>3</v>
      </c>
      <c r="G15" s="7" t="s">
        <v>4</v>
      </c>
    </row>
    <row r="16" spans="2:12" ht="122.4" customHeight="1">
      <c r="B16" s="4" t="s">
        <v>8</v>
      </c>
      <c r="C16" s="2" t="s">
        <v>9</v>
      </c>
      <c r="D16" s="2" t="s">
        <v>5</v>
      </c>
      <c r="E16" s="2" t="s">
        <v>6</v>
      </c>
      <c r="F16" s="3" t="s">
        <v>7</v>
      </c>
      <c r="G16" s="8">
        <v>5</v>
      </c>
    </row>
    <row r="17" spans="2:7" ht="122.4" customHeight="1" thickBot="1">
      <c r="B17" s="6" t="s">
        <v>10</v>
      </c>
      <c r="C17" s="15" t="s">
        <v>15</v>
      </c>
      <c r="D17" s="15" t="s">
        <v>5</v>
      </c>
      <c r="E17" s="15" t="s">
        <v>6</v>
      </c>
      <c r="F17" s="16" t="s">
        <v>7</v>
      </c>
      <c r="G17" s="9">
        <v>5</v>
      </c>
    </row>
    <row r="19" spans="2:7" ht="15" thickBot="1"/>
    <row r="20" spans="2:7" ht="28.8">
      <c r="B20" s="84"/>
      <c r="C20" s="86" t="s">
        <v>14</v>
      </c>
      <c r="D20" s="86"/>
      <c r="E20" s="86"/>
      <c r="F20" s="86"/>
      <c r="G20" s="87"/>
    </row>
    <row r="21" spans="2:7" ht="18">
      <c r="B21" s="85"/>
      <c r="C21" s="1" t="s">
        <v>0</v>
      </c>
      <c r="D21" s="1" t="s">
        <v>1</v>
      </c>
      <c r="E21" s="1" t="s">
        <v>2</v>
      </c>
      <c r="F21" s="1" t="s">
        <v>3</v>
      </c>
      <c r="G21" s="7" t="s">
        <v>4</v>
      </c>
    </row>
    <row r="22" spans="2:7" ht="122.4" customHeight="1">
      <c r="B22" s="4" t="s">
        <v>8</v>
      </c>
      <c r="C22" s="2" t="s">
        <v>9</v>
      </c>
      <c r="D22" s="2" t="s">
        <v>5</v>
      </c>
      <c r="E22" s="2" t="s">
        <v>6</v>
      </c>
      <c r="F22" s="3" t="s">
        <v>7</v>
      </c>
      <c r="G22" s="8">
        <v>5</v>
      </c>
    </row>
    <row r="23" spans="2:7" ht="122.4" customHeight="1" thickBot="1">
      <c r="B23" s="6" t="s">
        <v>10</v>
      </c>
      <c r="C23" s="18" t="s">
        <v>15</v>
      </c>
      <c r="D23" s="18" t="s">
        <v>5</v>
      </c>
      <c r="E23" s="18" t="s">
        <v>6</v>
      </c>
      <c r="F23" s="19" t="s">
        <v>7</v>
      </c>
      <c r="G23" s="9">
        <v>4</v>
      </c>
    </row>
  </sheetData>
  <mergeCells count="8">
    <mergeCell ref="B20:B21"/>
    <mergeCell ref="C20:G20"/>
    <mergeCell ref="B2:B3"/>
    <mergeCell ref="C2:G2"/>
    <mergeCell ref="B8:B9"/>
    <mergeCell ref="C8:G8"/>
    <mergeCell ref="B14:B15"/>
    <mergeCell ref="C14:G14"/>
  </mergeCells>
  <dataValidations count="1">
    <dataValidation type="list" allowBlank="1" showInputMessage="1" showErrorMessage="1" sqref="G4:G5 G16:G17 G10:G11 G22:G23">
      <formula1>$I$3:$L$3</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460516F88B3DE4AA3DFB2C8CEFDF27C" ma:contentTypeVersion="2" ma:contentTypeDescription="Crée un document." ma:contentTypeScope="" ma:versionID="9439db60988aa789cc9c9388a453dacd">
  <xsd:schema xmlns:xsd="http://www.w3.org/2001/XMLSchema" xmlns:xs="http://www.w3.org/2001/XMLSchema" xmlns:p="http://schemas.microsoft.com/office/2006/metadata/properties" xmlns:ns2="57526c8c-d2db-4fdf-a402-3b3ca92aff6b" targetNamespace="http://schemas.microsoft.com/office/2006/metadata/properties" ma:root="true" ma:fieldsID="cdd632b9364446c2ea35e25ff36470df" ns2:_="">
    <xsd:import namespace="57526c8c-d2db-4fdf-a402-3b3ca92aff6b"/>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526c8c-d2db-4fdf-a402-3b3ca92aff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C7EAB9-9D80-458F-9383-A4F0330C0CC3}">
  <ds:schemaRefs>
    <ds:schemaRef ds:uri="http://schemas.openxmlformats.org/package/2006/metadata/core-properties"/>
    <ds:schemaRef ds:uri="http://purl.org/dc/elements/1.1/"/>
    <ds:schemaRef ds:uri="57526c8c-d2db-4fdf-a402-3b3ca92aff6b"/>
    <ds:schemaRef ds:uri="http://purl.org/dc/terms/"/>
    <ds:schemaRef ds:uri="http://schemas.microsoft.com/office/infopath/2007/PartnerControls"/>
    <ds:schemaRef ds:uri="http://schemas.microsoft.com/office/2006/documentManagement/types"/>
    <ds:schemaRef ds:uri="http://www.w3.org/XML/1998/namespac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4DC3C4F7-3516-4F4B-8393-D4A0A5B3F2E5}">
  <ds:schemaRefs>
    <ds:schemaRef ds:uri="http://schemas.microsoft.com/sharepoint/v3/contenttype/forms"/>
  </ds:schemaRefs>
</ds:datastoreItem>
</file>

<file path=customXml/itemProps3.xml><?xml version="1.0" encoding="utf-8"?>
<ds:datastoreItem xmlns:ds="http://schemas.openxmlformats.org/officeDocument/2006/customXml" ds:itemID="{8C3AF7DC-A23E-4D80-A793-F30959BAF3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526c8c-d2db-4fdf-a402-3b3ca92aff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Livrable</vt:lpstr>
      <vt:lpstr>Soutenance</vt:lpstr>
      <vt:lpstr>Individuel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2024-12-16T09:00:55Z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0x0101003460516F88B3DE4AA3DFB2C8CEFDF27C</vt:lpwstr>
  </property>
</Properties>
</file>